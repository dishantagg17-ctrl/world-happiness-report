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64" documentId="11_3043BF639ABDA3522F9F4F60A875BE98D48A301A" xr6:coauthVersionLast="47" xr6:coauthVersionMax="47" xr10:uidLastSave="{B8A4ABE8-025C-4B73-B83A-A8B2AE0E9B9B}"/>
  <bookViews>
    <workbookView xWindow="0" yWindow="0" windowWidth="0" windowHeight="0" xr2:uid="{00000000-000D-0000-FFFF-FFFF00000000}"/>
  </bookViews>
  <sheets>
    <sheet name="Happiness Data" sheetId="1" r:id="rId1"/>
    <sheet name="Descriptive Stats (2)" sheetId="3" r:id="rId2"/>
  </sheets>
  <definedNames>
    <definedName name="_xlchart.v1.0" hidden="1">'Happiness Data'!$B$1</definedName>
    <definedName name="_xlchart.v1.1" hidden="1">'Happiness Data'!$B$2:$B$11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6" i="3"/>
  <c r="B5" i="3"/>
  <c r="B3" i="3"/>
  <c r="B2" i="3"/>
</calcChain>
</file>

<file path=xl/sharedStrings.xml><?xml version="1.0" encoding="utf-8"?>
<sst xmlns="http://schemas.openxmlformats.org/spreadsheetml/2006/main" count="21" uniqueCount="21">
  <si>
    <t>Country</t>
  </si>
  <si>
    <t>Happiness Score</t>
  </si>
  <si>
    <t>GDP per Capita</t>
  </si>
  <si>
    <t>Healthy Life Expectancy</t>
  </si>
  <si>
    <t>Finland</t>
  </si>
  <si>
    <t>Denmark</t>
  </si>
  <si>
    <t>Switzerland</t>
  </si>
  <si>
    <t>Iceland</t>
  </si>
  <si>
    <t>Netherlands</t>
  </si>
  <si>
    <t>Canada</t>
  </si>
  <si>
    <t>Australia</t>
  </si>
  <si>
    <t>Germany</t>
  </si>
  <si>
    <t>India</t>
  </si>
  <si>
    <t>Afghanistan</t>
  </si>
  <si>
    <t>Statistic</t>
  </si>
  <si>
    <t>Formula (Excel)</t>
  </si>
  <si>
    <t>Mean</t>
  </si>
  <si>
    <t>Median</t>
  </si>
  <si>
    <t>Mode</t>
  </si>
  <si>
    <t>Standard Deviation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</si>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</sst>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'Happiness Data'!$C$1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'Happiness Data'!C2:C11</c:f>
              <c:numCache>
                <c:formatCode>General</c:formatCode>
                <c:ptCount val="10"/>
                <c:pt idx="0">
                  <c:v>1.34</c:v>
                </c:pt>
                <c:pt idx="1">
                  <c:v>1.32</c:v>
                </c:pt>
                <c:pt idx="2">
                  <c:v>1.45</c:v>
                </c:pt>
                <c:pt idx="3">
                  <c:v>1.38</c:v>
                </c:pt>
                <c:pt idx="4">
                  <c:v>1.36</c:v>
                </c:pt>
                <c:pt idx="5">
                  <c:v>1.33</c:v>
                </c:pt>
                <c:pt idx="6">
                  <c:v>1.34</c:v>
                </c:pt>
                <c:pt idx="7">
                  <c:v>1.3</c:v>
                </c:pt>
                <c:pt idx="8">
                  <c:v>0.73</c:v>
                </c:pt>
                <c:pt idx="9">
                  <c:v>0.35</c:v>
                </c:pt>
              </c:numCache>
            </c:numRef>
          </c:xVal>
          <c:yVal>
            <c:numRef>
              <c:f>'Happiness Data'!B2:B11</c:f>
              <c:numCache>
                <c:formatCode>General</c:formatCode>
                <c:ptCount val="10"/>
                <c:pt idx="0">
                  <c:v>7.8</c:v>
                </c:pt>
                <c:pt idx="1">
                  <c:v>7.6</c:v>
                </c:pt>
                <c:pt idx="2">
                  <c:v>7.5</c:v>
                </c:pt>
                <c:pt idx="3">
                  <c:v>7.4</c:v>
                </c:pt>
                <c:pt idx="4">
                  <c:v>7.3</c:v>
                </c:pt>
                <c:pt idx="5">
                  <c:v>7</c:v>
                </c:pt>
                <c:pt idx="6">
                  <c:v>7.2</c:v>
                </c:pt>
                <c:pt idx="7">
                  <c:v>6.9</c:v>
                </c:pt>
                <c:pt idx="8">
                  <c:v>4.2</c:v>
                </c:pt>
                <c:pt idx="9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1-4B7B-8CD5-06560526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752840"/>
        <c:axId val="1581754888"/>
      </c:scatterChart>
      <c:valAx>
        <c:axId val="158175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54888"/>
        <c:crosses val="autoZero"/>
        <c:crossBetween val="midCat"/>
      </c:valAx>
      <c:valAx>
        <c:axId val="158175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52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yVal>
            <c:numRef>
              <c:f>'Happiness Data'!$D$2:$D$11</c:f>
              <c:numCache>
                <c:formatCode>General</c:formatCode>
                <c:ptCount val="10"/>
                <c:pt idx="0">
                  <c:v>0.96</c:v>
                </c:pt>
                <c:pt idx="1">
                  <c:v>0.97</c:v>
                </c:pt>
                <c:pt idx="2">
                  <c:v>1</c:v>
                </c:pt>
                <c:pt idx="3">
                  <c:v>1.02</c:v>
                </c:pt>
                <c:pt idx="4">
                  <c:v>0.99</c:v>
                </c:pt>
                <c:pt idx="5">
                  <c:v>0.96</c:v>
                </c:pt>
                <c:pt idx="6">
                  <c:v>0.98</c:v>
                </c:pt>
                <c:pt idx="7">
                  <c:v>0.95</c:v>
                </c:pt>
                <c:pt idx="8">
                  <c:v>0.68</c:v>
                </c:pt>
                <c:pt idx="9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3-44EC-9971-CBE4AE0FBC7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'Happiness Data'!D2:D11</c:f>
              <c:numCache>
                <c:formatCode>General</c:formatCode>
                <c:ptCount val="10"/>
                <c:pt idx="0">
                  <c:v>0.96</c:v>
                </c:pt>
                <c:pt idx="1">
                  <c:v>0.97</c:v>
                </c:pt>
                <c:pt idx="2">
                  <c:v>1</c:v>
                </c:pt>
                <c:pt idx="3">
                  <c:v>1.02</c:v>
                </c:pt>
                <c:pt idx="4">
                  <c:v>0.99</c:v>
                </c:pt>
                <c:pt idx="5">
                  <c:v>0.96</c:v>
                </c:pt>
                <c:pt idx="6">
                  <c:v>0.98</c:v>
                </c:pt>
                <c:pt idx="7">
                  <c:v>0.95</c:v>
                </c:pt>
                <c:pt idx="8">
                  <c:v>0.68</c:v>
                </c:pt>
                <c:pt idx="9">
                  <c:v>0.42</c:v>
                </c:pt>
              </c:numCache>
            </c:numRef>
          </c:xVal>
          <c:yVal>
            <c:numRef>
              <c:f>'Happiness Data'!B2:B11</c:f>
              <c:numCache>
                <c:formatCode>General</c:formatCode>
                <c:ptCount val="10"/>
                <c:pt idx="0">
                  <c:v>7.8</c:v>
                </c:pt>
                <c:pt idx="1">
                  <c:v>7.6</c:v>
                </c:pt>
                <c:pt idx="2">
                  <c:v>7.5</c:v>
                </c:pt>
                <c:pt idx="3">
                  <c:v>7.4</c:v>
                </c:pt>
                <c:pt idx="4">
                  <c:v>7.3</c:v>
                </c:pt>
                <c:pt idx="5">
                  <c:v>7</c:v>
                </c:pt>
                <c:pt idx="6">
                  <c:v>7.2</c:v>
                </c:pt>
                <c:pt idx="7">
                  <c:v>6.9</c:v>
                </c:pt>
                <c:pt idx="8">
                  <c:v>4.2</c:v>
                </c:pt>
                <c:pt idx="9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13-44EC-9971-CBE4AE0FB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21767"/>
        <c:axId val="1220040199"/>
      </c:scatterChart>
      <c:valAx>
        <c:axId val="1220021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40199"/>
        <c:crosses val="autoZero"/>
        <c:crossBetween val="midCat"/>
      </c:valAx>
      <c:valAx>
        <c:axId val="1220040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21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1DA1-4109-9345-CA3790088BCC}">
          <cx:tx>
            <cx:txData>
              <cx:f>_xlchart.v1.0</cx:f>
              <cx:v>Happiness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13</xdr:row>
      <xdr:rowOff>180975</xdr:rowOff>
    </xdr:from>
    <xdr:to>
      <xdr:col>3</xdr:col>
      <xdr:colOff>1581150</xdr:colOff>
      <xdr:row>29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C050321-DA89-4E6F-2A2E-5DCD42C794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485775</xdr:colOff>
      <xdr:row>31</xdr:row>
      <xdr:rowOff>123825</xdr:rowOff>
    </xdr:from>
    <xdr:to>
      <xdr:col>3</xdr:col>
      <xdr:colOff>1552575</xdr:colOff>
      <xdr:row>46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4BFC06-42FF-6735-3770-A035A4A659EA}"/>
            </a:ext>
            <a:ext uri="{147F2762-F138-4A5C-976F-8EAC2B608ADB}">
              <a16:predDERef xmlns:a16="http://schemas.microsoft.com/office/drawing/2014/main" pred="{7C050321-DA89-4E6F-2A2E-5DCD42C79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466725</xdr:colOff>
      <xdr:row>47</xdr:row>
      <xdr:rowOff>133350</xdr:rowOff>
    </xdr:from>
    <xdr:to>
      <xdr:col>3</xdr:col>
      <xdr:colOff>1533525</xdr:colOff>
      <xdr:row>62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73ECCF-7AD0-3626-7675-EB3BC74D1E16}"/>
            </a:ext>
            <a:ext uri="{147F2762-F138-4A5C-976F-8EAC2B608ADB}">
              <a16:predDERef xmlns:a16="http://schemas.microsoft.com/office/drawing/2014/main" pred="{0D4BFC06-42FF-6735-3770-A035A4A65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53" workbookViewId="0">
      <selection activeCell="B67" sqref="B67"/>
    </sheetView>
  </sheetViews>
  <sheetFormatPr defaultRowHeight="15"/>
  <cols>
    <col min="1" max="1" width="13.28515625" customWidth="1"/>
    <col min="2" max="2" width="20.5703125" customWidth="1"/>
    <col min="3" max="3" width="1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7.8</v>
      </c>
      <c r="C2">
        <v>1.34</v>
      </c>
      <c r="D2">
        <v>0.96</v>
      </c>
    </row>
    <row r="3" spans="1:4">
      <c r="A3" t="s">
        <v>5</v>
      </c>
      <c r="B3">
        <v>7.6</v>
      </c>
      <c r="C3">
        <v>1.32</v>
      </c>
      <c r="D3">
        <v>0.97</v>
      </c>
    </row>
    <row r="4" spans="1:4">
      <c r="A4" t="s">
        <v>6</v>
      </c>
      <c r="B4">
        <v>7.5</v>
      </c>
      <c r="C4">
        <v>1.45</v>
      </c>
      <c r="D4">
        <v>1</v>
      </c>
    </row>
    <row r="5" spans="1:4">
      <c r="A5" t="s">
        <v>7</v>
      </c>
      <c r="B5">
        <v>7.4</v>
      </c>
      <c r="C5">
        <v>1.38</v>
      </c>
      <c r="D5">
        <v>1.02</v>
      </c>
    </row>
    <row r="6" spans="1:4">
      <c r="A6" t="s">
        <v>8</v>
      </c>
      <c r="B6">
        <v>7.3</v>
      </c>
      <c r="C6">
        <v>1.36</v>
      </c>
      <c r="D6">
        <v>0.99</v>
      </c>
    </row>
    <row r="7" spans="1:4">
      <c r="A7" t="s">
        <v>9</v>
      </c>
      <c r="B7">
        <v>7</v>
      </c>
      <c r="C7">
        <v>1.33</v>
      </c>
      <c r="D7">
        <v>0.96</v>
      </c>
    </row>
    <row r="8" spans="1:4">
      <c r="A8" t="s">
        <v>10</v>
      </c>
      <c r="B8">
        <v>7.2</v>
      </c>
      <c r="C8">
        <v>1.34</v>
      </c>
      <c r="D8">
        <v>0.98</v>
      </c>
    </row>
    <row r="9" spans="1:4">
      <c r="A9" t="s">
        <v>11</v>
      </c>
      <c r="B9">
        <v>6.9</v>
      </c>
      <c r="C9">
        <v>1.3</v>
      </c>
      <c r="D9">
        <v>0.95</v>
      </c>
    </row>
    <row r="10" spans="1:4">
      <c r="A10" t="s">
        <v>12</v>
      </c>
      <c r="B10">
        <v>4.2</v>
      </c>
      <c r="C10">
        <v>0.73</v>
      </c>
      <c r="D10">
        <v>0.68</v>
      </c>
    </row>
    <row r="11" spans="1:4">
      <c r="A11" t="s">
        <v>13</v>
      </c>
      <c r="B11">
        <v>2.4</v>
      </c>
      <c r="C11">
        <v>0.35</v>
      </c>
      <c r="D11">
        <v>0.42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1BAE-FA09-424B-AADD-A0A58539E1F6}">
  <dimension ref="A1:B6"/>
  <sheetViews>
    <sheetView workbookViewId="0">
      <selection activeCell="J4" sqref="J4"/>
    </sheetView>
  </sheetViews>
  <sheetFormatPr defaultRowHeight="15"/>
  <cols>
    <col min="1" max="1" width="21.140625" customWidth="1"/>
    <col min="2" max="2" width="26.14062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>
        <f>AVERAGE('Happiness Data'!B2:B11)</f>
        <v>6.5299999999999994</v>
      </c>
    </row>
    <row r="3" spans="1:2">
      <c r="A3" t="s">
        <v>17</v>
      </c>
      <c r="B3">
        <f>MEDIAN('Happiness Data'!B2:B11)</f>
        <v>7.25</v>
      </c>
    </row>
    <row r="4" spans="1:2">
      <c r="A4" t="s">
        <v>18</v>
      </c>
      <c r="B4" s="2" t="e">
        <f>_xlfn.MODE.SNGL('Happiness Data'!B2:B11)</f>
        <v>#N/A</v>
      </c>
    </row>
    <row r="5" spans="1:2">
      <c r="A5" t="s">
        <v>19</v>
      </c>
      <c r="B5">
        <f>_xlfn.STDEV.P('Happiness Data'!B2:B11)</f>
        <v>1.6834785415917863</v>
      </c>
    </row>
    <row r="6" spans="1:2">
      <c r="A6" t="s">
        <v>20</v>
      </c>
      <c r="B6">
        <f>_xlfn.VAR.P('Happiness Data'!B2:B11)</f>
        <v>2.8341000000000078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Divyam Jain</cp:lastModifiedBy>
  <cp:revision/>
  <dcterms:created xsi:type="dcterms:W3CDTF">2025-11-11T13:42:36Z</dcterms:created>
  <dcterms:modified xsi:type="dcterms:W3CDTF">2025-11-11T14:07:33Z</dcterms:modified>
  <cp:category/>
  <cp:contentStatus/>
</cp:coreProperties>
</file>